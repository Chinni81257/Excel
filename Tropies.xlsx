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NANI\OneDrive\Desktop\"/>
    </mc:Choice>
  </mc:AlternateContent>
  <xr:revisionPtr revIDLastSave="0" documentId="8_{C0BF90EB-706C-4A04-816F-4A1FA8C15027}" xr6:coauthVersionLast="47" xr6:coauthVersionMax="47" xr10:uidLastSave="{00000000-0000-0000-0000-000000000000}"/>
  <bookViews>
    <workbookView xWindow="-108" yWindow="-108" windowWidth="23256" windowHeight="12456" xr2:uid="{58EF90D9-A998-4927-8D1D-4564FAF19947}"/>
  </bookViews>
  <sheets>
    <sheet name="Tropies" sheetId="2" r:id="rId1"/>
    <sheet name="Winners Dataset" sheetId="1" r:id="rId2"/>
  </sheets>
  <definedNames>
    <definedName name="_xlchart.v1.0" hidden="1">Tropies!$D$4:$D$11</definedName>
    <definedName name="_xlchart.v1.1" hidden="1">Tropies!$E$3</definedName>
    <definedName name="_xlchart.v1.2" hidden="1">Tropies!$E$4:$E$11</definedName>
    <definedName name="_xlchart.v1.3" hidden="1">Tropies!$D$4:$D$11</definedName>
    <definedName name="_xlchart.v1.4" hidden="1">Tropies!$E$3</definedName>
    <definedName name="_xlchart.v1.5" hidden="1">Tropies!$E$4:$E$11</definedName>
  </definedNames>
  <calcPr calcId="191029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4" i="2"/>
  <c r="E6" i="2"/>
  <c r="E7" i="2"/>
  <c r="E8" i="2"/>
  <c r="E9" i="2"/>
  <c r="E10" i="2"/>
  <c r="E11" i="2"/>
  <c r="E5" i="2"/>
  <c r="E4" i="2"/>
</calcChain>
</file>

<file path=xl/sharedStrings.xml><?xml version="1.0" encoding="utf-8"?>
<sst xmlns="http://schemas.openxmlformats.org/spreadsheetml/2006/main" count="89" uniqueCount="54">
  <si>
    <t>Year</t>
  </si>
  <si>
    <t>Winner</t>
  </si>
  <si>
    <t>Runner-up</t>
  </si>
  <si>
    <t>Player of the Season</t>
  </si>
  <si>
    <t>IPL-2008</t>
  </si>
  <si>
    <t>Rajasthan Royals</t>
  </si>
  <si>
    <t>Chennai Super Kings</t>
  </si>
  <si>
    <t>Shane Watson</t>
  </si>
  <si>
    <t>IPL-2009</t>
  </si>
  <si>
    <t>Deccan Chargers</t>
  </si>
  <si>
    <t>Royal Challengers Bangalore</t>
  </si>
  <si>
    <t>Adam Gilchrist</t>
  </si>
  <si>
    <t>IPL-2010</t>
  </si>
  <si>
    <t>Mumbai Indians</t>
  </si>
  <si>
    <t>Sachin Tendulkar</t>
  </si>
  <si>
    <t>IPL-2011</t>
  </si>
  <si>
    <t>Chris Gayle</t>
  </si>
  <si>
    <t>IPL-2012</t>
  </si>
  <si>
    <t>Kolkata Knight Riders</t>
  </si>
  <si>
    <t>Sunil Narine</t>
  </si>
  <si>
    <t>IPL-2013</t>
  </si>
  <si>
    <t>IPL-2014</t>
  </si>
  <si>
    <t>Kings XI Punjab</t>
  </si>
  <si>
    <t>Glenn Maxwell</t>
  </si>
  <si>
    <t>IPL-2015</t>
  </si>
  <si>
    <t>Andre Russell</t>
  </si>
  <si>
    <t>IPL-2016</t>
  </si>
  <si>
    <t>Sunrisers Hyderabad</t>
  </si>
  <si>
    <t>Virat Kohli</t>
  </si>
  <si>
    <t>IPL-2017</t>
  </si>
  <si>
    <t>Rising Pune Supergiant</t>
  </si>
  <si>
    <t>Ben Stokes</t>
  </si>
  <si>
    <t>IPL-2018</t>
  </si>
  <si>
    <t>IPL-2019</t>
  </si>
  <si>
    <t>IPL-2020</t>
  </si>
  <si>
    <t>Delhi Capitals</t>
  </si>
  <si>
    <t>Jofra Archer</t>
  </si>
  <si>
    <t>IPL-2021</t>
  </si>
  <si>
    <t>Harshal Patel</t>
  </si>
  <si>
    <t>IPL-2022</t>
  </si>
  <si>
    <t>Gujarat Titans</t>
  </si>
  <si>
    <t>Jos Buttler</t>
  </si>
  <si>
    <t>IPL-2023</t>
  </si>
  <si>
    <t>Shubman Gill</t>
  </si>
  <si>
    <t>IPL-2024</t>
  </si>
  <si>
    <t>IPL-2025</t>
  </si>
  <si>
    <t>Royal challenges Bangalore</t>
  </si>
  <si>
    <t>Punjab Kings</t>
  </si>
  <si>
    <t>Suryakumar Yadav</t>
  </si>
  <si>
    <t>Row Labels</t>
  </si>
  <si>
    <t>Grand Total</t>
  </si>
  <si>
    <t>Count of Winner</t>
  </si>
  <si>
    <t>Team Names</t>
  </si>
  <si>
    <t>No of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</si>
</sst>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Tropies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Tropies</a:t>
          </a:r>
        </a:p>
      </cx:txPr>
    </cx:title>
    <cx:plotArea>
      <cx:plotAreaRegion>
        <cx:series layoutId="treemap" uniqueId="{0B4F3E82-96C5-4D09-AA0E-AE525E4A90DF}">
          <cx:tx>
            <cx:txData>
              <cx:f>_xlchart.v1.1</cx:f>
              <cx:v>No of wins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259080</xdr:colOff>
      <xdr:row>12</xdr:row>
      <xdr:rowOff>171450</xdr:rowOff>
    </xdr:from>
    <xdr:to>
      <xdr:col>7</xdr:col>
      <xdr:colOff>137160</xdr:colOff>
      <xdr:row>27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78850C4B-CC79-2A74-7FE9-53404C6F13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66900" y="2366010"/>
              <a:ext cx="521208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NI" refreshedDate="46138.289446875002" createdVersion="8" refreshedVersion="8" minRefreshableVersion="3" recordCount="18" xr:uid="{B42499FB-950C-45FE-A953-323EE3AEB35A}">
  <cacheSource type="worksheet">
    <worksheetSource ref="A1:D19" sheet="Winners Dataset"/>
  </cacheSource>
  <cacheFields count="4">
    <cacheField name="Year" numFmtId="0">
      <sharedItems count="18">
        <s v="IPL-2008"/>
        <s v="IPL-2009"/>
        <s v="IPL-2010"/>
        <s v="IPL-2011"/>
        <s v="IPL-2012"/>
        <s v="IPL-2013"/>
        <s v="IPL-2014"/>
        <s v="IPL-2015"/>
        <s v="IPL-2016"/>
        <s v="IPL-2017"/>
        <s v="IPL-2018"/>
        <s v="IPL-2019"/>
        <s v="IPL-2020"/>
        <s v="IPL-2021"/>
        <s v="IPL-2022"/>
        <s v="IPL-2023"/>
        <s v="IPL-2024"/>
        <s v="IPL-2025"/>
      </sharedItems>
    </cacheField>
    <cacheField name="Winner" numFmtId="0">
      <sharedItems count="8">
        <s v="Rajasthan Royals"/>
        <s v="Deccan Chargers"/>
        <s v="Chennai Super Kings"/>
        <s v="Kolkata Knight Riders"/>
        <s v="Mumbai Indians"/>
        <s v="Sunrisers Hyderabad"/>
        <s v="Gujarat Titans"/>
        <s v="Royal challenges Bangalore"/>
      </sharedItems>
    </cacheField>
    <cacheField name="Runner-up" numFmtId="0">
      <sharedItems/>
    </cacheField>
    <cacheField name="Player of the Season" numFmtId="0">
      <sharedItems/>
    </cacheField>
  </cacheFields>
  <extLst>
    <ext xmlns:x14="http://schemas.microsoft.com/office/spreadsheetml/2009/9/main" uri="{725AE2AE-9491-48be-B2B4-4EB974FC3084}">
      <x14:pivotCacheDefinition pivotCacheId="36438947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x v="0"/>
    <s v="Chennai Super Kings"/>
    <s v="Shane Watson"/>
  </r>
  <r>
    <x v="1"/>
    <x v="1"/>
    <s v="Royal Challengers Bangalore"/>
    <s v="Adam Gilchrist"/>
  </r>
  <r>
    <x v="2"/>
    <x v="2"/>
    <s v="Mumbai Indians"/>
    <s v="Sachin Tendulkar"/>
  </r>
  <r>
    <x v="3"/>
    <x v="2"/>
    <s v="Royal Challengers Bangalore"/>
    <s v="Chris Gayle"/>
  </r>
  <r>
    <x v="4"/>
    <x v="3"/>
    <s v="Chennai Super Kings"/>
    <s v="Sunil Narine"/>
  </r>
  <r>
    <x v="5"/>
    <x v="4"/>
    <s v="Chennai Super Kings"/>
    <s v="Shane Watson"/>
  </r>
  <r>
    <x v="6"/>
    <x v="3"/>
    <s v="Kings XI Punjab"/>
    <s v="Glenn Maxwell"/>
  </r>
  <r>
    <x v="7"/>
    <x v="4"/>
    <s v="Chennai Super Kings"/>
    <s v="Andre Russell"/>
  </r>
  <r>
    <x v="8"/>
    <x v="5"/>
    <s v="Royal Challengers Bangalore"/>
    <s v="Virat Kohli"/>
  </r>
  <r>
    <x v="9"/>
    <x v="4"/>
    <s v="Rising Pune Supergiant"/>
    <s v="Ben Stokes"/>
  </r>
  <r>
    <x v="10"/>
    <x v="2"/>
    <s v="Sunrisers Hyderabad"/>
    <s v="Sunil Narine"/>
  </r>
  <r>
    <x v="11"/>
    <x v="4"/>
    <s v="Chennai Super Kings"/>
    <s v="Andre Russell"/>
  </r>
  <r>
    <x v="12"/>
    <x v="4"/>
    <s v="Delhi Capitals"/>
    <s v="Jofra Archer"/>
  </r>
  <r>
    <x v="13"/>
    <x v="2"/>
    <s v="Kolkata Knight Riders"/>
    <s v="Harshal Patel"/>
  </r>
  <r>
    <x v="14"/>
    <x v="6"/>
    <s v="Rajasthan Royals"/>
    <s v="Jos Buttler"/>
  </r>
  <r>
    <x v="15"/>
    <x v="2"/>
    <s v="Gujarat Titans"/>
    <s v="Shubman Gill"/>
  </r>
  <r>
    <x v="16"/>
    <x v="3"/>
    <s v="Sunrisers Hyderabad"/>
    <s v="Sunil Narine"/>
  </r>
  <r>
    <x v="17"/>
    <x v="7"/>
    <s v="Punjab Kings"/>
    <s v="Suryakumar Yadav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222A5-1A9F-4D7E-AAA6-6437F49766D2}" name="Tropies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2" firstHeaderRow="1" firstDataRow="1" firstDataCol="1"/>
  <pivotFields count="4"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Row" dataField="1" showAll="0">
      <items count="9">
        <item x="2"/>
        <item x="1"/>
        <item x="6"/>
        <item x="3"/>
        <item x="4"/>
        <item x="0"/>
        <item x="7"/>
        <item x="5"/>
        <item t="default"/>
      </items>
    </pivotField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Winner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56A4-96F6-4A61-9245-ED967D6DE78F}">
  <dimension ref="A3:E12"/>
  <sheetViews>
    <sheetView tabSelected="1" workbookViewId="0">
      <selection activeCell="B8" sqref="B8"/>
    </sheetView>
  </sheetViews>
  <sheetFormatPr defaultRowHeight="14.4" x14ac:dyDescent="0.3"/>
  <cols>
    <col min="1" max="1" width="23.44140625" bestFit="1" customWidth="1"/>
    <col min="2" max="2" width="15" bestFit="1" customWidth="1"/>
    <col min="4" max="4" width="25.44140625" customWidth="1"/>
    <col min="5" max="5" width="10.6640625" customWidth="1"/>
  </cols>
  <sheetData>
    <row r="3" spans="1:5" x14ac:dyDescent="0.3">
      <c r="A3" s="10" t="s">
        <v>49</v>
      </c>
      <c r="B3" t="s">
        <v>51</v>
      </c>
      <c r="D3" t="s">
        <v>52</v>
      </c>
      <c r="E3" t="s">
        <v>53</v>
      </c>
    </row>
    <row r="4" spans="1:5" x14ac:dyDescent="0.3">
      <c r="A4" s="11" t="s">
        <v>6</v>
      </c>
      <c r="B4" s="12">
        <v>5</v>
      </c>
      <c r="D4" t="str">
        <f>A4</f>
        <v>Chennai Super Kings</v>
      </c>
      <c r="E4">
        <f>GETPIVOTDATA("Winner",$A$3,"Winner",A4)</f>
        <v>5</v>
      </c>
    </row>
    <row r="5" spans="1:5" x14ac:dyDescent="0.3">
      <c r="A5" s="11" t="s">
        <v>9</v>
      </c>
      <c r="B5" s="12">
        <v>1</v>
      </c>
      <c r="D5" t="str">
        <f t="shared" ref="D5:D11" si="0">A5</f>
        <v>Deccan Chargers</v>
      </c>
      <c r="E5">
        <f t="shared" ref="E5:E11" si="1">GETPIVOTDATA("Winner",$A$3,"Winner",A5)</f>
        <v>1</v>
      </c>
    </row>
    <row r="6" spans="1:5" x14ac:dyDescent="0.3">
      <c r="A6" s="11" t="s">
        <v>40</v>
      </c>
      <c r="B6" s="12">
        <v>1</v>
      </c>
      <c r="D6" t="str">
        <f t="shared" si="0"/>
        <v>Gujarat Titans</v>
      </c>
      <c r="E6">
        <f t="shared" si="1"/>
        <v>1</v>
      </c>
    </row>
    <row r="7" spans="1:5" x14ac:dyDescent="0.3">
      <c r="A7" s="11" t="s">
        <v>18</v>
      </c>
      <c r="B7" s="12">
        <v>3</v>
      </c>
      <c r="D7" t="str">
        <f t="shared" si="0"/>
        <v>Kolkata Knight Riders</v>
      </c>
      <c r="E7">
        <f t="shared" si="1"/>
        <v>3</v>
      </c>
    </row>
    <row r="8" spans="1:5" x14ac:dyDescent="0.3">
      <c r="A8" s="11" t="s">
        <v>13</v>
      </c>
      <c r="B8" s="12">
        <v>5</v>
      </c>
      <c r="D8" t="str">
        <f t="shared" si="0"/>
        <v>Mumbai Indians</v>
      </c>
      <c r="E8">
        <f t="shared" si="1"/>
        <v>5</v>
      </c>
    </row>
    <row r="9" spans="1:5" x14ac:dyDescent="0.3">
      <c r="A9" s="11" t="s">
        <v>5</v>
      </c>
      <c r="B9" s="12">
        <v>1</v>
      </c>
      <c r="D9" t="str">
        <f t="shared" si="0"/>
        <v>Rajasthan Royals</v>
      </c>
      <c r="E9">
        <f t="shared" si="1"/>
        <v>1</v>
      </c>
    </row>
    <row r="10" spans="1:5" x14ac:dyDescent="0.3">
      <c r="A10" s="11" t="s">
        <v>46</v>
      </c>
      <c r="B10" s="12">
        <v>1</v>
      </c>
      <c r="D10" t="str">
        <f t="shared" si="0"/>
        <v>Royal challenges Bangalore</v>
      </c>
      <c r="E10">
        <f t="shared" si="1"/>
        <v>1</v>
      </c>
    </row>
    <row r="11" spans="1:5" x14ac:dyDescent="0.3">
      <c r="A11" s="11" t="s">
        <v>27</v>
      </c>
      <c r="B11" s="12">
        <v>1</v>
      </c>
      <c r="D11" t="str">
        <f t="shared" si="0"/>
        <v>Sunrisers Hyderabad</v>
      </c>
      <c r="E11">
        <f t="shared" si="1"/>
        <v>1</v>
      </c>
    </row>
    <row r="12" spans="1:5" x14ac:dyDescent="0.3">
      <c r="A12" s="11" t="s">
        <v>50</v>
      </c>
      <c r="B12" s="12">
        <v>18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7417-C552-4A06-85B9-1FC3F9960DB0}">
  <dimension ref="A1:D19"/>
  <sheetViews>
    <sheetView workbookViewId="0">
      <selection activeCell="B5" sqref="B5"/>
    </sheetView>
  </sheetViews>
  <sheetFormatPr defaultRowHeight="14.4" x14ac:dyDescent="0.3"/>
  <cols>
    <col min="1" max="1" width="15.6640625" customWidth="1"/>
    <col min="2" max="2" width="20.77734375" customWidth="1"/>
    <col min="3" max="3" width="21.77734375" customWidth="1"/>
    <col min="4" max="4" width="34.6640625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 t="s">
        <v>5</v>
      </c>
      <c r="C2" s="5" t="s">
        <v>6</v>
      </c>
      <c r="D2" s="6" t="s">
        <v>7</v>
      </c>
    </row>
    <row r="3" spans="1:4" x14ac:dyDescent="0.3">
      <c r="A3" s="7" t="s">
        <v>8</v>
      </c>
      <c r="B3" s="8" t="s">
        <v>9</v>
      </c>
      <c r="C3" s="8" t="s">
        <v>10</v>
      </c>
      <c r="D3" s="9" t="s">
        <v>11</v>
      </c>
    </row>
    <row r="4" spans="1:4" x14ac:dyDescent="0.3">
      <c r="A4" s="4" t="s">
        <v>12</v>
      </c>
      <c r="B4" s="5" t="s">
        <v>6</v>
      </c>
      <c r="C4" s="5" t="s">
        <v>13</v>
      </c>
      <c r="D4" s="6" t="s">
        <v>14</v>
      </c>
    </row>
    <row r="5" spans="1:4" x14ac:dyDescent="0.3">
      <c r="A5" s="7" t="s">
        <v>15</v>
      </c>
      <c r="B5" s="8" t="s">
        <v>6</v>
      </c>
      <c r="C5" s="8" t="s">
        <v>10</v>
      </c>
      <c r="D5" s="9" t="s">
        <v>16</v>
      </c>
    </row>
    <row r="6" spans="1:4" x14ac:dyDescent="0.3">
      <c r="A6" s="4" t="s">
        <v>17</v>
      </c>
      <c r="B6" s="5" t="s">
        <v>18</v>
      </c>
      <c r="C6" s="5" t="s">
        <v>6</v>
      </c>
      <c r="D6" s="6" t="s">
        <v>19</v>
      </c>
    </row>
    <row r="7" spans="1:4" x14ac:dyDescent="0.3">
      <c r="A7" s="7" t="s">
        <v>20</v>
      </c>
      <c r="B7" s="8" t="s">
        <v>13</v>
      </c>
      <c r="C7" s="8" t="s">
        <v>6</v>
      </c>
      <c r="D7" s="9" t="s">
        <v>7</v>
      </c>
    </row>
    <row r="8" spans="1:4" x14ac:dyDescent="0.3">
      <c r="A8" s="4" t="s">
        <v>21</v>
      </c>
      <c r="B8" s="5" t="s">
        <v>18</v>
      </c>
      <c r="C8" s="5" t="s">
        <v>22</v>
      </c>
      <c r="D8" s="6" t="s">
        <v>23</v>
      </c>
    </row>
    <row r="9" spans="1:4" x14ac:dyDescent="0.3">
      <c r="A9" s="7" t="s">
        <v>24</v>
      </c>
      <c r="B9" s="8" t="s">
        <v>13</v>
      </c>
      <c r="C9" s="8" t="s">
        <v>6</v>
      </c>
      <c r="D9" s="9" t="s">
        <v>25</v>
      </c>
    </row>
    <row r="10" spans="1:4" x14ac:dyDescent="0.3">
      <c r="A10" s="4" t="s">
        <v>26</v>
      </c>
      <c r="B10" s="5" t="s">
        <v>27</v>
      </c>
      <c r="C10" s="5" t="s">
        <v>10</v>
      </c>
      <c r="D10" s="6" t="s">
        <v>28</v>
      </c>
    </row>
    <row r="11" spans="1:4" x14ac:dyDescent="0.3">
      <c r="A11" s="7" t="s">
        <v>29</v>
      </c>
      <c r="B11" s="8" t="s">
        <v>13</v>
      </c>
      <c r="C11" s="8" t="s">
        <v>30</v>
      </c>
      <c r="D11" s="9" t="s">
        <v>31</v>
      </c>
    </row>
    <row r="12" spans="1:4" x14ac:dyDescent="0.3">
      <c r="A12" s="4" t="s">
        <v>32</v>
      </c>
      <c r="B12" s="5" t="s">
        <v>6</v>
      </c>
      <c r="C12" s="5" t="s">
        <v>27</v>
      </c>
      <c r="D12" s="6" t="s">
        <v>19</v>
      </c>
    </row>
    <row r="13" spans="1:4" x14ac:dyDescent="0.3">
      <c r="A13" s="7" t="s">
        <v>33</v>
      </c>
      <c r="B13" s="8" t="s">
        <v>13</v>
      </c>
      <c r="C13" s="8" t="s">
        <v>6</v>
      </c>
      <c r="D13" s="9" t="s">
        <v>25</v>
      </c>
    </row>
    <row r="14" spans="1:4" x14ac:dyDescent="0.3">
      <c r="A14" s="4" t="s">
        <v>34</v>
      </c>
      <c r="B14" s="5" t="s">
        <v>13</v>
      </c>
      <c r="C14" s="5" t="s">
        <v>35</v>
      </c>
      <c r="D14" s="6" t="s">
        <v>36</v>
      </c>
    </row>
    <row r="15" spans="1:4" x14ac:dyDescent="0.3">
      <c r="A15" s="7" t="s">
        <v>37</v>
      </c>
      <c r="B15" s="8" t="s">
        <v>6</v>
      </c>
      <c r="C15" s="8" t="s">
        <v>18</v>
      </c>
      <c r="D15" s="9" t="s">
        <v>38</v>
      </c>
    </row>
    <row r="16" spans="1:4" x14ac:dyDescent="0.3">
      <c r="A16" s="4" t="s">
        <v>39</v>
      </c>
      <c r="B16" s="5" t="s">
        <v>40</v>
      </c>
      <c r="C16" s="5" t="s">
        <v>5</v>
      </c>
      <c r="D16" s="6" t="s">
        <v>41</v>
      </c>
    </row>
    <row r="17" spans="1:4" x14ac:dyDescent="0.3">
      <c r="A17" s="7" t="s">
        <v>42</v>
      </c>
      <c r="B17" s="8" t="s">
        <v>6</v>
      </c>
      <c r="C17" s="8" t="s">
        <v>40</v>
      </c>
      <c r="D17" s="9" t="s">
        <v>43</v>
      </c>
    </row>
    <row r="18" spans="1:4" x14ac:dyDescent="0.3">
      <c r="A18" s="4" t="s">
        <v>44</v>
      </c>
      <c r="B18" s="5" t="s">
        <v>18</v>
      </c>
      <c r="C18" s="5" t="s">
        <v>27</v>
      </c>
      <c r="D18" s="6" t="s">
        <v>19</v>
      </c>
    </row>
    <row r="19" spans="1:4" x14ac:dyDescent="0.3">
      <c r="A19" s="7" t="s">
        <v>45</v>
      </c>
      <c r="B19" s="8" t="s">
        <v>46</v>
      </c>
      <c r="C19" s="8" t="s">
        <v>47</v>
      </c>
      <c r="D19" s="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Tropies</vt:lpstr>
      <vt:lpstr>Winners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katuri nandini</dc:creator>
  <cp:lastModifiedBy>katuri nandini</cp:lastModifiedBy>
  <dcterms:created xsi:type="dcterms:W3CDTF">2026-04-26T01:26:19Z</dcterms:created>
  <dcterms:modified xsi:type="dcterms:W3CDTF">2026-04-26T01:33:54Z</dcterms:modified>
</cp:coreProperties>
</file>